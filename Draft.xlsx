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lej\Downloads\Fanta\"/>
    </mc:Choice>
  </mc:AlternateContent>
  <xr:revisionPtr revIDLastSave="0" documentId="13_ncr:1_{D5EF1178-6E70-4A03-B814-B58DCB22CFFC}" xr6:coauthVersionLast="47" xr6:coauthVersionMax="47" xr10:uidLastSave="{00000000-0000-0000-0000-000000000000}"/>
  <bookViews>
    <workbookView xWindow="156" yWindow="24" windowWidth="13476" windowHeight="12240" xr2:uid="{00000000-000D-0000-FFFF-FFFF00000000}"/>
  </bookViews>
  <sheets>
    <sheet name="Draf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M32" i="1" s="1"/>
  <c r="K31" i="1"/>
  <c r="K32" i="1" s="1"/>
  <c r="I31" i="1"/>
  <c r="I32" i="1" s="1"/>
  <c r="G31" i="1"/>
  <c r="G32" i="1" s="1"/>
  <c r="E31" i="1"/>
  <c r="E32" i="1" s="1"/>
  <c r="C31" i="1"/>
  <c r="C32" i="1" s="1"/>
</calcChain>
</file>

<file path=xl/sharedStrings.xml><?xml version="1.0" encoding="utf-8"?>
<sst xmlns="http://schemas.openxmlformats.org/spreadsheetml/2006/main" count="180" uniqueCount="170">
  <si>
    <t>Matěj</t>
  </si>
  <si>
    <t>Goran</t>
  </si>
  <si>
    <t>Johnny</t>
  </si>
  <si>
    <t>Kuba</t>
  </si>
  <si>
    <t>Paulie</t>
  </si>
  <si>
    <t>Francesco</t>
  </si>
  <si>
    <t>Hráč</t>
  </si>
  <si>
    <t>Cena</t>
  </si>
  <si>
    <t>Portieri</t>
  </si>
  <si>
    <t>Maignan</t>
  </si>
  <si>
    <t>De Gea</t>
  </si>
  <si>
    <t>Israel</t>
  </si>
  <si>
    <t>Sommer</t>
  </si>
  <si>
    <t>Carnesecchi</t>
  </si>
  <si>
    <t>Svilar</t>
  </si>
  <si>
    <t>Falcone</t>
  </si>
  <si>
    <t>Suzuki</t>
  </si>
  <si>
    <t>Rossi F.</t>
  </si>
  <si>
    <t>Gollini</t>
  </si>
  <si>
    <t>Torriani</t>
  </si>
  <si>
    <t>Ciocci</t>
  </si>
  <si>
    <t>Furlanetto</t>
  </si>
  <si>
    <t>Sportiello</t>
  </si>
  <si>
    <t>Vasquez</t>
  </si>
  <si>
    <t>Difensori</t>
  </si>
  <si>
    <t>Dimarco</t>
  </si>
  <si>
    <t>Bastoni</t>
  </si>
  <si>
    <t>Akanji</t>
  </si>
  <si>
    <t>Bellanova</t>
  </si>
  <si>
    <t>Bremer</t>
  </si>
  <si>
    <t>Zortea</t>
  </si>
  <si>
    <t>Gosens</t>
  </si>
  <si>
    <t>Baschirotto</t>
  </si>
  <si>
    <t>Cambiaso</t>
  </si>
  <si>
    <t>Buongiorno</t>
  </si>
  <si>
    <t>Vitik</t>
  </si>
  <si>
    <t>Mancini</t>
  </si>
  <si>
    <t>Solet</t>
  </si>
  <si>
    <t>Zappacosta</t>
  </si>
  <si>
    <t>Romagnoli</t>
  </si>
  <si>
    <t>Kalulu</t>
  </si>
  <si>
    <t>Valeri</t>
  </si>
  <si>
    <t>Di Lorenzo</t>
  </si>
  <si>
    <t>Miranda J.</t>
  </si>
  <si>
    <t>Luperto</t>
  </si>
  <si>
    <t>Estupinan</t>
  </si>
  <si>
    <t>Mina</t>
  </si>
  <si>
    <t>Bisseck</t>
  </si>
  <si>
    <t>Joao Mario</t>
  </si>
  <si>
    <t>Vojvoda</t>
  </si>
  <si>
    <t>Cuadrado</t>
  </si>
  <si>
    <t>Comuzzo</t>
  </si>
  <si>
    <t>Martin</t>
  </si>
  <si>
    <t>Lazaro</t>
  </si>
  <si>
    <t>Zappa</t>
  </si>
  <si>
    <t>Wesley</t>
  </si>
  <si>
    <t>Delprato</t>
  </si>
  <si>
    <t>Valle</t>
  </si>
  <si>
    <t>Rrahmani</t>
  </si>
  <si>
    <t>Van Der Brempt</t>
  </si>
  <si>
    <t>Ostigard</t>
  </si>
  <si>
    <t>Gila</t>
  </si>
  <si>
    <t>Centrocampisti</t>
  </si>
  <si>
    <t>De Bruyne</t>
  </si>
  <si>
    <t>Pulisic</t>
  </si>
  <si>
    <t>Paz N.</t>
  </si>
  <si>
    <t>Calhanoglu</t>
  </si>
  <si>
    <t>McTominay</t>
  </si>
  <si>
    <t>Zaccagni</t>
  </si>
  <si>
    <t>Orsolini</t>
  </si>
  <si>
    <t>Conceicao</t>
  </si>
  <si>
    <t>Barella</t>
  </si>
  <si>
    <t>Politano</t>
  </si>
  <si>
    <t>Thuram K.</t>
  </si>
  <si>
    <t>Vlasic</t>
  </si>
  <si>
    <t>Caqueret</t>
  </si>
  <si>
    <t>Isaksen</t>
  </si>
  <si>
    <t>Cristante</t>
  </si>
  <si>
    <t>Perrone</t>
  </si>
  <si>
    <t>Saelemaekers</t>
  </si>
  <si>
    <t>Sottil</t>
  </si>
  <si>
    <t>Mandragora</t>
  </si>
  <si>
    <t>Modric</t>
  </si>
  <si>
    <t>Odgaard</t>
  </si>
  <si>
    <t>Baturina</t>
  </si>
  <si>
    <t>Koopmeiners</t>
  </si>
  <si>
    <t>Fagioli</t>
  </si>
  <si>
    <t>Prati</t>
  </si>
  <si>
    <t>Casadei</t>
  </si>
  <si>
    <t>Ekkelenkamp</t>
  </si>
  <si>
    <t>Da Cunha</t>
  </si>
  <si>
    <t>Pasalic</t>
  </si>
  <si>
    <t>Atta</t>
  </si>
  <si>
    <t>Thorstvedt</t>
  </si>
  <si>
    <t>Ferguson</t>
  </si>
  <si>
    <t>Attaccanti</t>
  </si>
  <si>
    <t>Yildiz</t>
  </si>
  <si>
    <t>Leao</t>
  </si>
  <si>
    <t>Thuram</t>
  </si>
  <si>
    <t>Kean</t>
  </si>
  <si>
    <t>Dybala</t>
  </si>
  <si>
    <t>Dia</t>
  </si>
  <si>
    <t>Hojlund</t>
  </si>
  <si>
    <t>De Ketelaere</t>
  </si>
  <si>
    <t>Dovbyk</t>
  </si>
  <si>
    <t>Berardi</t>
  </si>
  <si>
    <t>Addai</t>
  </si>
  <si>
    <t xml:space="preserve">Nkunku </t>
  </si>
  <si>
    <t>Scamacca</t>
  </si>
  <si>
    <t>Davis K.</t>
  </si>
  <si>
    <t>Lukaku</t>
  </si>
  <si>
    <t>Pinamonti</t>
  </si>
  <si>
    <t>Castro S.</t>
  </si>
  <si>
    <t>Ngonge</t>
  </si>
  <si>
    <t>Pedro</t>
  </si>
  <si>
    <t>Bonazzoli</t>
  </si>
  <si>
    <t>Celkový součet cen</t>
  </si>
  <si>
    <t>Zbývá</t>
  </si>
  <si>
    <t>Zambo Anguissa</t>
  </si>
  <si>
    <t>Sohm</t>
  </si>
  <si>
    <t xml:space="preserve">Giovane </t>
  </si>
  <si>
    <t>Pellegrini Lo.</t>
  </si>
  <si>
    <t>Neres</t>
  </si>
  <si>
    <t>Zielinski</t>
  </si>
  <si>
    <t>Kilicsoy</t>
  </si>
  <si>
    <t>Palestra</t>
  </si>
  <si>
    <t>Ramon</t>
  </si>
  <si>
    <t>Durosinmi</t>
  </si>
  <si>
    <t>Krstovic</t>
  </si>
  <si>
    <t>Gabbia</t>
  </si>
  <si>
    <t xml:space="preserve">Rabiot </t>
  </si>
  <si>
    <t>Vergara</t>
  </si>
  <si>
    <t>Zaniolo</t>
  </si>
  <si>
    <t>Boga</t>
  </si>
  <si>
    <t xml:space="preserve">Solomon </t>
  </si>
  <si>
    <t>Zalewski</t>
  </si>
  <si>
    <t xml:space="preserve">Esposito Se. </t>
  </si>
  <si>
    <t>Zelezny</t>
  </si>
  <si>
    <t>Malen</t>
  </si>
  <si>
    <t>Santos A.</t>
  </si>
  <si>
    <t>Chivu</t>
  </si>
  <si>
    <t>Sarri</t>
  </si>
  <si>
    <t>Gasperini</t>
  </si>
  <si>
    <t>Conte</t>
  </si>
  <si>
    <t>Fabregas</t>
  </si>
  <si>
    <t>Allegri</t>
  </si>
  <si>
    <t>Terracciano</t>
  </si>
  <si>
    <t>Martinelli T.</t>
  </si>
  <si>
    <t>Gutierrez</t>
  </si>
  <si>
    <t>Martinez Jo.</t>
  </si>
  <si>
    <t>Kelly L.</t>
  </si>
  <si>
    <t>N'Dicka</t>
  </si>
  <si>
    <t>Tavares N.</t>
  </si>
  <si>
    <t>Dodò</t>
  </si>
  <si>
    <t>Pezzella Giu.</t>
  </si>
  <si>
    <t>Lykogiannis</t>
  </si>
  <si>
    <t>Gudmundsson A.</t>
  </si>
  <si>
    <t>Taylor K.</t>
  </si>
  <si>
    <t>Esposito F.P.</t>
  </si>
  <si>
    <t>Soulè</t>
  </si>
  <si>
    <t>Dzeko</t>
  </si>
  <si>
    <t>Samardzic</t>
  </si>
  <si>
    <t>Martinez L.</t>
  </si>
  <si>
    <t>Adams C.</t>
  </si>
  <si>
    <t>Ederson D.S.</t>
  </si>
  <si>
    <t>Konè M.</t>
  </si>
  <si>
    <t>Bernardeschi</t>
  </si>
  <si>
    <t>Sarr A.</t>
  </si>
  <si>
    <t>Ferguson E.</t>
  </si>
  <si>
    <t>Laurientè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</si>
</sst>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Calibri"/>
      <scheme val="minor"/>
    </font>
    <font>
      <sz val="10"/>
      <name val="Consolas"/>
    </font>
    <font>
      <sz val="10"/>
      <name val="Comic Sans MS"/>
    </font>
    <font>
      <b/>
      <sz val="14"/>
      <name val="Comic Sans MS"/>
    </font>
    <font>
      <sz val="10"/>
      <name val="Calibri"/>
    </font>
    <font>
      <b/>
      <sz val="10"/>
      <name val="Comic Sans MS"/>
    </font>
    <font>
      <b/>
      <sz val="12"/>
      <name val="Comic Sans MS"/>
    </font>
    <font>
      <sz val="10"/>
      <color rgb="FF000000"/>
      <name val="Comic Sans MS"/>
    </font>
    <font>
      <b/>
      <sz val="10"/>
      <name val="Consolas"/>
    </font>
    <font>
      <sz val="10"/>
      <color rgb="FF000000"/>
      <name val="Comic Sans MS"/>
      <family val="4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5" fillId="2" borderId="8" xfId="0" applyFont="1" applyFill="1" applyBorder="1" applyAlignment="1">
      <alignment horizontal="center"/>
    </xf>
    <xf numFmtId="0" fontId="7" fillId="3" borderId="10" xfId="0" applyFont="1" applyFill="1" applyBorder="1" applyAlignment="1">
      <alignment wrapText="1"/>
    </xf>
    <xf numFmtId="0" fontId="7" fillId="3" borderId="10" xfId="0" applyFont="1" applyFill="1" applyBorder="1" applyAlignment="1">
      <alignment horizontal="right" wrapText="1"/>
    </xf>
    <xf numFmtId="0" fontId="7" fillId="4" borderId="10" xfId="0" applyFont="1" applyFill="1" applyBorder="1" applyAlignment="1">
      <alignment wrapText="1"/>
    </xf>
    <xf numFmtId="0" fontId="7" fillId="4" borderId="10" xfId="0" applyFont="1" applyFill="1" applyBorder="1" applyAlignment="1">
      <alignment horizontal="right" wrapText="1"/>
    </xf>
    <xf numFmtId="0" fontId="7" fillId="5" borderId="10" xfId="0" applyFont="1" applyFill="1" applyBorder="1" applyAlignment="1">
      <alignment wrapText="1"/>
    </xf>
    <xf numFmtId="0" fontId="7" fillId="5" borderId="10" xfId="0" applyFont="1" applyFill="1" applyBorder="1" applyAlignment="1">
      <alignment horizontal="right" wrapText="1"/>
    </xf>
    <xf numFmtId="0" fontId="7" fillId="6" borderId="10" xfId="0" applyFont="1" applyFill="1" applyBorder="1" applyAlignment="1">
      <alignment wrapText="1"/>
    </xf>
    <xf numFmtId="0" fontId="7" fillId="6" borderId="10" xfId="0" applyFont="1" applyFill="1" applyBorder="1" applyAlignment="1">
      <alignment horizontal="right" wrapText="1"/>
    </xf>
    <xf numFmtId="164" fontId="5" fillId="0" borderId="4" xfId="0" applyNumberFormat="1" applyFont="1" applyBorder="1"/>
    <xf numFmtId="0" fontId="5" fillId="0" borderId="4" xfId="0" applyFont="1" applyBorder="1"/>
    <xf numFmtId="164" fontId="1" fillId="0" borderId="10" xfId="0" applyNumberFormat="1" applyFont="1" applyBorder="1"/>
    <xf numFmtId="0" fontId="1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6" fillId="6" borderId="13" xfId="0" applyFont="1" applyFill="1" applyBorder="1" applyAlignment="1">
      <alignment horizontal="center" vertical="center" textRotation="90"/>
    </xf>
    <xf numFmtId="0" fontId="4" fillId="0" borderId="11" xfId="0" applyFont="1" applyBorder="1"/>
    <xf numFmtId="0" fontId="4" fillId="0" borderId="14" xfId="0" applyFont="1" applyBorder="1"/>
    <xf numFmtId="0" fontId="8" fillId="0" borderId="17" xfId="0" applyFont="1" applyBorder="1" applyAlignment="1">
      <alignment horizontal="center"/>
    </xf>
    <xf numFmtId="0" fontId="4" fillId="0" borderId="18" xfId="0" applyFont="1" applyBorder="1"/>
    <xf numFmtId="0" fontId="5" fillId="0" borderId="15" xfId="0" applyFont="1" applyBorder="1" applyAlignment="1">
      <alignment horizontal="center"/>
    </xf>
    <xf numFmtId="0" fontId="4" fillId="0" borderId="16" xfId="0" applyFont="1" applyBorder="1"/>
    <xf numFmtId="0" fontId="6" fillId="3" borderId="9" xfId="0" applyFont="1" applyFill="1" applyBorder="1" applyAlignment="1">
      <alignment horizontal="center" vertical="center" textRotation="90"/>
    </xf>
    <xf numFmtId="0" fontId="4" fillId="0" borderId="12" xfId="0" applyFont="1" applyBorder="1"/>
    <xf numFmtId="0" fontId="2" fillId="0" borderId="1" xfId="0" applyFont="1" applyBorder="1" applyAlignment="1">
      <alignment horizontal="center"/>
    </xf>
    <xf numFmtId="0" fontId="4" fillId="0" borderId="4" xfId="0" applyFont="1" applyBorder="1"/>
    <xf numFmtId="0" fontId="4" fillId="0" borderId="7" xfId="0" applyFont="1" applyBorder="1"/>
    <xf numFmtId="0" fontId="6" fillId="4" borderId="13" xfId="0" applyFont="1" applyFill="1" applyBorder="1" applyAlignment="1">
      <alignment horizontal="center" vertical="center" textRotation="90"/>
    </xf>
    <xf numFmtId="0" fontId="6" fillId="5" borderId="13" xfId="0" applyFont="1" applyFill="1" applyBorder="1" applyAlignment="1">
      <alignment horizontal="center" vertical="center" textRotation="90"/>
    </xf>
    <xf numFmtId="0" fontId="9" fillId="5" borderId="10" xfId="0" applyFont="1" applyFill="1" applyBorder="1" applyAlignment="1">
      <alignment wrapText="1"/>
    </xf>
    <xf numFmtId="0" fontId="9" fillId="6" borderId="10" xfId="0" applyFont="1" applyFill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showGridLines="0" tabSelected="1" topLeftCell="A15" zoomScaleNormal="100" workbookViewId="0">
      <selection activeCell="E24" sqref="E24"/>
    </sheetView>
  </sheetViews>
  <sheetFormatPr defaultColWidth="14.33203125" defaultRowHeight="15" customHeight="1" x14ac:dyDescent="0.3"/>
  <cols>
    <col min="1" max="1" width="10.6640625" customWidth="1"/>
    <col min="2" max="2" width="20.6640625" customWidth="1"/>
    <col min="3" max="3" width="9.33203125" customWidth="1"/>
    <col min="4" max="4" width="20.6640625" customWidth="1"/>
    <col min="5" max="5" width="9.33203125" customWidth="1"/>
    <col min="6" max="6" width="20.6640625" customWidth="1"/>
    <col min="7" max="7" width="9.33203125" customWidth="1"/>
    <col min="8" max="8" width="20.6640625" customWidth="1"/>
    <col min="9" max="9" width="9.33203125" customWidth="1"/>
    <col min="10" max="10" width="20.6640625" customWidth="1"/>
    <col min="11" max="11" width="9.33203125" customWidth="1"/>
    <col min="12" max="12" width="20.6640625" customWidth="1"/>
    <col min="13" max="13" width="9.33203125" customWidth="1"/>
  </cols>
  <sheetData>
    <row r="1" spans="1:13" ht="12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.75" customHeight="1" x14ac:dyDescent="0.3">
      <c r="A3" s="30"/>
      <c r="B3" s="17" t="s">
        <v>0</v>
      </c>
      <c r="C3" s="18"/>
      <c r="D3" s="17" t="s">
        <v>1</v>
      </c>
      <c r="E3" s="18"/>
      <c r="F3" s="17" t="s">
        <v>2</v>
      </c>
      <c r="G3" s="18"/>
      <c r="H3" s="17" t="s">
        <v>3</v>
      </c>
      <c r="I3" s="18"/>
      <c r="J3" s="17" t="s">
        <v>4</v>
      </c>
      <c r="K3" s="18"/>
      <c r="L3" s="17" t="s">
        <v>5</v>
      </c>
      <c r="M3" s="18"/>
    </row>
    <row r="4" spans="1:13" ht="12.75" customHeight="1" x14ac:dyDescent="0.3">
      <c r="A4" s="31"/>
      <c r="B4" s="19"/>
      <c r="C4" s="20"/>
      <c r="D4" s="19"/>
      <c r="E4" s="20"/>
      <c r="F4" s="19"/>
      <c r="G4" s="20"/>
      <c r="H4" s="19"/>
      <c r="I4" s="20"/>
      <c r="J4" s="19"/>
      <c r="K4" s="20"/>
      <c r="L4" s="19"/>
      <c r="M4" s="20"/>
    </row>
    <row r="5" spans="1:13" ht="30" customHeight="1" x14ac:dyDescent="0.45">
      <c r="A5" s="32"/>
      <c r="B5" s="2" t="s">
        <v>6</v>
      </c>
      <c r="C5" s="2" t="s">
        <v>7</v>
      </c>
      <c r="D5" s="2" t="s">
        <v>6</v>
      </c>
      <c r="E5" s="2" t="s">
        <v>7</v>
      </c>
      <c r="F5" s="2" t="s">
        <v>6</v>
      </c>
      <c r="G5" s="2" t="s">
        <v>7</v>
      </c>
      <c r="H5" s="2" t="s">
        <v>6</v>
      </c>
      <c r="I5" s="2" t="s">
        <v>7</v>
      </c>
      <c r="J5" s="2" t="s">
        <v>6</v>
      </c>
      <c r="K5" s="2" t="s">
        <v>7</v>
      </c>
      <c r="L5" s="2" t="s">
        <v>6</v>
      </c>
      <c r="M5" s="2" t="s">
        <v>7</v>
      </c>
    </row>
    <row r="6" spans="1:13" ht="18" customHeight="1" x14ac:dyDescent="0.4">
      <c r="A6" s="28" t="s">
        <v>8</v>
      </c>
      <c r="B6" s="3" t="s">
        <v>9</v>
      </c>
      <c r="C6" s="4">
        <v>16</v>
      </c>
      <c r="D6" s="3" t="s">
        <v>10</v>
      </c>
      <c r="E6" s="4">
        <v>14</v>
      </c>
      <c r="F6" s="3" t="s">
        <v>11</v>
      </c>
      <c r="G6" s="4">
        <v>9</v>
      </c>
      <c r="H6" s="3" t="s">
        <v>12</v>
      </c>
      <c r="I6" s="4">
        <v>16</v>
      </c>
      <c r="J6" s="3" t="s">
        <v>13</v>
      </c>
      <c r="K6" s="4">
        <v>14</v>
      </c>
      <c r="L6" s="3" t="s">
        <v>14</v>
      </c>
      <c r="M6" s="4">
        <v>15</v>
      </c>
    </row>
    <row r="7" spans="1:13" ht="18" customHeight="1" x14ac:dyDescent="0.4">
      <c r="A7" s="22"/>
      <c r="B7" s="3" t="s">
        <v>146</v>
      </c>
      <c r="C7" s="4">
        <v>1</v>
      </c>
      <c r="D7" s="3" t="s">
        <v>147</v>
      </c>
      <c r="E7" s="4">
        <v>1</v>
      </c>
      <c r="F7" s="3" t="s">
        <v>15</v>
      </c>
      <c r="G7" s="4">
        <v>6</v>
      </c>
      <c r="H7" s="3" t="s">
        <v>16</v>
      </c>
      <c r="I7" s="4">
        <v>7</v>
      </c>
      <c r="J7" s="3" t="s">
        <v>17</v>
      </c>
      <c r="K7" s="4">
        <v>1</v>
      </c>
      <c r="L7" s="3" t="s">
        <v>18</v>
      </c>
      <c r="M7" s="4">
        <v>1</v>
      </c>
    </row>
    <row r="8" spans="1:13" ht="18" customHeight="1" x14ac:dyDescent="0.4">
      <c r="A8" s="29"/>
      <c r="B8" s="3" t="s">
        <v>19</v>
      </c>
      <c r="C8" s="4">
        <v>1</v>
      </c>
      <c r="D8" s="3" t="s">
        <v>20</v>
      </c>
      <c r="E8" s="4">
        <v>1</v>
      </c>
      <c r="F8" s="3" t="s">
        <v>21</v>
      </c>
      <c r="G8" s="4">
        <v>1</v>
      </c>
      <c r="H8" s="3" t="s">
        <v>149</v>
      </c>
      <c r="I8" s="4">
        <v>2</v>
      </c>
      <c r="J8" s="3" t="s">
        <v>22</v>
      </c>
      <c r="K8" s="4">
        <v>1</v>
      </c>
      <c r="L8" s="3" t="s">
        <v>137</v>
      </c>
      <c r="M8" s="4">
        <v>1</v>
      </c>
    </row>
    <row r="9" spans="1:13" ht="18" customHeight="1" x14ac:dyDescent="0.4">
      <c r="A9" s="33" t="s">
        <v>24</v>
      </c>
      <c r="B9" s="5" t="s">
        <v>25</v>
      </c>
      <c r="C9" s="6">
        <v>19</v>
      </c>
      <c r="D9" s="5" t="s">
        <v>26</v>
      </c>
      <c r="E9" s="6">
        <v>16</v>
      </c>
      <c r="F9" s="5" t="s">
        <v>27</v>
      </c>
      <c r="G9" s="6">
        <v>9</v>
      </c>
      <c r="H9" s="5" t="s">
        <v>150</v>
      </c>
      <c r="I9" s="6">
        <v>11</v>
      </c>
      <c r="J9" s="5" t="s">
        <v>28</v>
      </c>
      <c r="K9" s="6">
        <v>13</v>
      </c>
      <c r="L9" s="5" t="s">
        <v>29</v>
      </c>
      <c r="M9" s="6">
        <v>13</v>
      </c>
    </row>
    <row r="10" spans="1:13" ht="18" customHeight="1" x14ac:dyDescent="0.4">
      <c r="A10" s="22"/>
      <c r="B10" s="5" t="s">
        <v>30</v>
      </c>
      <c r="C10" s="6">
        <v>16</v>
      </c>
      <c r="D10" s="5" t="s">
        <v>31</v>
      </c>
      <c r="E10" s="6">
        <v>18</v>
      </c>
      <c r="F10" s="5" t="s">
        <v>32</v>
      </c>
      <c r="G10" s="6">
        <v>8</v>
      </c>
      <c r="H10" s="5" t="s">
        <v>151</v>
      </c>
      <c r="I10" s="6">
        <v>10</v>
      </c>
      <c r="J10" s="5" t="s">
        <v>33</v>
      </c>
      <c r="K10" s="6">
        <v>15</v>
      </c>
      <c r="L10" s="5" t="s">
        <v>34</v>
      </c>
      <c r="M10" s="6">
        <v>13</v>
      </c>
    </row>
    <row r="11" spans="1:13" ht="18" customHeight="1" x14ac:dyDescent="0.4">
      <c r="A11" s="22"/>
      <c r="B11" s="5" t="s">
        <v>35</v>
      </c>
      <c r="C11" s="6">
        <v>8</v>
      </c>
      <c r="D11" s="5" t="s">
        <v>36</v>
      </c>
      <c r="E11" s="6">
        <v>11</v>
      </c>
      <c r="F11" s="5" t="s">
        <v>23</v>
      </c>
      <c r="G11" s="6">
        <v>9</v>
      </c>
      <c r="H11" s="5" t="s">
        <v>129</v>
      </c>
      <c r="I11" s="6">
        <v>8</v>
      </c>
      <c r="J11" s="5" t="s">
        <v>37</v>
      </c>
      <c r="K11" s="6">
        <v>11</v>
      </c>
      <c r="L11" s="5" t="s">
        <v>125</v>
      </c>
      <c r="M11" s="6">
        <v>15</v>
      </c>
    </row>
    <row r="12" spans="1:13" ht="18" customHeight="1" x14ac:dyDescent="0.4">
      <c r="A12" s="22"/>
      <c r="B12" s="5" t="s">
        <v>38</v>
      </c>
      <c r="C12" s="6">
        <v>13</v>
      </c>
      <c r="D12" s="5" t="s">
        <v>39</v>
      </c>
      <c r="E12" s="6">
        <v>8</v>
      </c>
      <c r="F12" s="5" t="s">
        <v>40</v>
      </c>
      <c r="G12" s="6">
        <v>9</v>
      </c>
      <c r="H12" s="5" t="s">
        <v>152</v>
      </c>
      <c r="I12" s="6">
        <v>12</v>
      </c>
      <c r="J12" s="5" t="s">
        <v>41</v>
      </c>
      <c r="K12" s="6">
        <v>10</v>
      </c>
      <c r="L12" s="5" t="s">
        <v>42</v>
      </c>
      <c r="M12" s="6">
        <v>14</v>
      </c>
    </row>
    <row r="13" spans="1:13" ht="18" customHeight="1" x14ac:dyDescent="0.4">
      <c r="A13" s="22"/>
      <c r="B13" s="5" t="s">
        <v>43</v>
      </c>
      <c r="C13" s="6">
        <v>9</v>
      </c>
      <c r="D13" s="5" t="s">
        <v>44</v>
      </c>
      <c r="E13" s="6">
        <v>7</v>
      </c>
      <c r="F13" s="5" t="s">
        <v>45</v>
      </c>
      <c r="G13" s="6">
        <v>11</v>
      </c>
      <c r="H13" s="5" t="s">
        <v>46</v>
      </c>
      <c r="I13" s="6">
        <v>7</v>
      </c>
      <c r="J13" s="5" t="s">
        <v>47</v>
      </c>
      <c r="K13" s="6">
        <v>9</v>
      </c>
      <c r="L13" s="5" t="s">
        <v>48</v>
      </c>
      <c r="M13" s="6">
        <v>8</v>
      </c>
    </row>
    <row r="14" spans="1:13" ht="18" customHeight="1" x14ac:dyDescent="0.4">
      <c r="A14" s="22"/>
      <c r="B14" s="5" t="s">
        <v>49</v>
      </c>
      <c r="C14" s="6">
        <v>6</v>
      </c>
      <c r="D14" s="5" t="s">
        <v>148</v>
      </c>
      <c r="E14" s="6">
        <v>7</v>
      </c>
      <c r="F14" s="5" t="s">
        <v>50</v>
      </c>
      <c r="G14" s="6">
        <v>7</v>
      </c>
      <c r="H14" s="5" t="s">
        <v>153</v>
      </c>
      <c r="I14" s="6">
        <v>11</v>
      </c>
      <c r="J14" s="5" t="s">
        <v>51</v>
      </c>
      <c r="K14" s="6">
        <v>7</v>
      </c>
      <c r="L14" s="5" t="s">
        <v>52</v>
      </c>
      <c r="M14" s="6">
        <v>10</v>
      </c>
    </row>
    <row r="15" spans="1:13" ht="18" customHeight="1" x14ac:dyDescent="0.4">
      <c r="A15" s="22"/>
      <c r="B15" s="5" t="s">
        <v>53</v>
      </c>
      <c r="C15" s="6">
        <v>7</v>
      </c>
      <c r="D15" s="5" t="s">
        <v>54</v>
      </c>
      <c r="E15" s="6">
        <v>6</v>
      </c>
      <c r="F15" s="5" t="s">
        <v>55</v>
      </c>
      <c r="G15" s="6">
        <v>14</v>
      </c>
      <c r="H15" s="5" t="s">
        <v>154</v>
      </c>
      <c r="I15" s="6">
        <v>5</v>
      </c>
      <c r="J15" s="5" t="s">
        <v>56</v>
      </c>
      <c r="K15" s="6">
        <v>8</v>
      </c>
      <c r="L15" s="5" t="s">
        <v>57</v>
      </c>
      <c r="M15" s="6">
        <v>6</v>
      </c>
    </row>
    <row r="16" spans="1:13" ht="18" customHeight="1" x14ac:dyDescent="0.4">
      <c r="A16" s="29"/>
      <c r="B16" s="5" t="s">
        <v>58</v>
      </c>
      <c r="C16" s="6">
        <v>11</v>
      </c>
      <c r="D16" s="5" t="s">
        <v>59</v>
      </c>
      <c r="E16" s="6">
        <v>4</v>
      </c>
      <c r="F16" s="5" t="s">
        <v>126</v>
      </c>
      <c r="G16" s="6">
        <v>12</v>
      </c>
      <c r="H16" s="5" t="s">
        <v>60</v>
      </c>
      <c r="I16" s="6">
        <v>5</v>
      </c>
      <c r="J16" s="5" t="s">
        <v>61</v>
      </c>
      <c r="K16" s="6">
        <v>9</v>
      </c>
      <c r="L16" s="5" t="s">
        <v>155</v>
      </c>
      <c r="M16" s="6">
        <v>5</v>
      </c>
    </row>
    <row r="17" spans="1:13" ht="18" customHeight="1" x14ac:dyDescent="0.4">
      <c r="A17" s="34" t="s">
        <v>62</v>
      </c>
      <c r="B17" s="7" t="s">
        <v>63</v>
      </c>
      <c r="C17" s="8">
        <v>23</v>
      </c>
      <c r="D17" s="7" t="s">
        <v>64</v>
      </c>
      <c r="E17" s="8">
        <v>28</v>
      </c>
      <c r="F17" s="7" t="s">
        <v>65</v>
      </c>
      <c r="G17" s="8">
        <v>20</v>
      </c>
      <c r="H17" s="7" t="s">
        <v>66</v>
      </c>
      <c r="I17" s="8">
        <v>23</v>
      </c>
      <c r="J17" s="7" t="s">
        <v>67</v>
      </c>
      <c r="K17" s="8">
        <v>26</v>
      </c>
      <c r="L17" s="7" t="s">
        <v>68</v>
      </c>
      <c r="M17" s="8">
        <v>26</v>
      </c>
    </row>
    <row r="18" spans="1:13" ht="18" customHeight="1" x14ac:dyDescent="0.4">
      <c r="A18" s="22"/>
      <c r="B18" s="7" t="s">
        <v>164</v>
      </c>
      <c r="C18" s="8">
        <v>15</v>
      </c>
      <c r="D18" s="7" t="s">
        <v>69</v>
      </c>
      <c r="E18" s="8">
        <v>30</v>
      </c>
      <c r="F18" s="7" t="s">
        <v>123</v>
      </c>
      <c r="G18" s="8">
        <v>19</v>
      </c>
      <c r="H18" s="7" t="s">
        <v>70</v>
      </c>
      <c r="I18" s="8">
        <v>18</v>
      </c>
      <c r="J18" s="7" t="s">
        <v>71</v>
      </c>
      <c r="K18" s="8">
        <v>14</v>
      </c>
      <c r="L18" s="7" t="s">
        <v>156</v>
      </c>
      <c r="M18" s="8">
        <v>24</v>
      </c>
    </row>
    <row r="19" spans="1:13" ht="18" customHeight="1" x14ac:dyDescent="0.4">
      <c r="A19" s="22"/>
      <c r="B19" s="35" t="s">
        <v>165</v>
      </c>
      <c r="C19" s="8">
        <v>14</v>
      </c>
      <c r="D19" s="7" t="s">
        <v>72</v>
      </c>
      <c r="E19" s="8">
        <v>15</v>
      </c>
      <c r="F19" s="7" t="s">
        <v>73</v>
      </c>
      <c r="G19" s="8">
        <v>16</v>
      </c>
      <c r="H19" s="7" t="s">
        <v>74</v>
      </c>
      <c r="I19" s="8">
        <v>15</v>
      </c>
      <c r="J19" s="7" t="s">
        <v>119</v>
      </c>
      <c r="K19" s="8">
        <v>12</v>
      </c>
      <c r="L19" s="7" t="s">
        <v>75</v>
      </c>
      <c r="M19" s="8">
        <v>12</v>
      </c>
    </row>
    <row r="20" spans="1:13" ht="18" customHeight="1" x14ac:dyDescent="0.4">
      <c r="A20" s="22"/>
      <c r="B20" s="35" t="s">
        <v>121</v>
      </c>
      <c r="C20" s="8">
        <v>17</v>
      </c>
      <c r="D20" s="7" t="s">
        <v>76</v>
      </c>
      <c r="E20" s="8">
        <v>14</v>
      </c>
      <c r="F20" s="7" t="s">
        <v>77</v>
      </c>
      <c r="G20" s="8">
        <v>9</v>
      </c>
      <c r="H20" s="7" t="s">
        <v>78</v>
      </c>
      <c r="I20" s="8">
        <v>8</v>
      </c>
      <c r="J20" s="7" t="s">
        <v>161</v>
      </c>
      <c r="K20" s="8">
        <v>12</v>
      </c>
      <c r="L20" s="7" t="s">
        <v>79</v>
      </c>
      <c r="M20" s="8">
        <v>12</v>
      </c>
    </row>
    <row r="21" spans="1:13" ht="18" customHeight="1" x14ac:dyDescent="0.4">
      <c r="A21" s="22"/>
      <c r="B21" s="7" t="s">
        <v>80</v>
      </c>
      <c r="C21" s="8">
        <v>11</v>
      </c>
      <c r="D21" s="7" t="s">
        <v>81</v>
      </c>
      <c r="E21" s="8">
        <v>14</v>
      </c>
      <c r="F21" s="7" t="s">
        <v>82</v>
      </c>
      <c r="G21" s="8">
        <v>12</v>
      </c>
      <c r="H21" s="7" t="s">
        <v>130</v>
      </c>
      <c r="I21" s="8">
        <v>26</v>
      </c>
      <c r="J21" s="7" t="s">
        <v>83</v>
      </c>
      <c r="K21" s="8">
        <v>16</v>
      </c>
      <c r="L21" s="7" t="s">
        <v>139</v>
      </c>
      <c r="M21" s="8">
        <v>8</v>
      </c>
    </row>
    <row r="22" spans="1:13" ht="18" customHeight="1" x14ac:dyDescent="0.4">
      <c r="A22" s="22"/>
      <c r="B22" s="7" t="s">
        <v>84</v>
      </c>
      <c r="C22" s="8">
        <v>9</v>
      </c>
      <c r="D22" s="7" t="s">
        <v>85</v>
      </c>
      <c r="E22" s="8">
        <v>14</v>
      </c>
      <c r="F22" s="35" t="s">
        <v>118</v>
      </c>
      <c r="G22" s="8">
        <v>15</v>
      </c>
      <c r="H22" s="7" t="s">
        <v>86</v>
      </c>
      <c r="I22" s="8">
        <v>8</v>
      </c>
      <c r="J22" s="7" t="s">
        <v>87</v>
      </c>
      <c r="K22" s="8">
        <v>3</v>
      </c>
      <c r="L22" s="7" t="s">
        <v>88</v>
      </c>
      <c r="M22" s="8">
        <v>12</v>
      </c>
    </row>
    <row r="23" spans="1:13" ht="18" customHeight="1" x14ac:dyDescent="0.4">
      <c r="A23" s="22"/>
      <c r="B23" s="7" t="s">
        <v>89</v>
      </c>
      <c r="C23" s="8">
        <v>10</v>
      </c>
      <c r="D23" s="7" t="s">
        <v>90</v>
      </c>
      <c r="E23" s="8">
        <v>12</v>
      </c>
      <c r="F23" s="7" t="s">
        <v>122</v>
      </c>
      <c r="G23" s="8">
        <v>16</v>
      </c>
      <c r="H23" s="7" t="s">
        <v>131</v>
      </c>
      <c r="I23" s="8">
        <v>6</v>
      </c>
      <c r="J23" s="7" t="s">
        <v>135</v>
      </c>
      <c r="K23" s="8">
        <v>16</v>
      </c>
      <c r="L23" s="7" t="s">
        <v>157</v>
      </c>
      <c r="M23" s="8">
        <v>14</v>
      </c>
    </row>
    <row r="24" spans="1:13" ht="18" customHeight="1" x14ac:dyDescent="0.4">
      <c r="A24" s="29"/>
      <c r="B24" s="35" t="s">
        <v>166</v>
      </c>
      <c r="C24" s="8">
        <v>9</v>
      </c>
      <c r="D24" s="7" t="s">
        <v>91</v>
      </c>
      <c r="E24" s="8">
        <v>9</v>
      </c>
      <c r="F24" s="7" t="s">
        <v>92</v>
      </c>
      <c r="G24" s="8">
        <v>8</v>
      </c>
      <c r="H24" s="7" t="s">
        <v>132</v>
      </c>
      <c r="I24" s="8">
        <v>20</v>
      </c>
      <c r="J24" s="7" t="s">
        <v>93</v>
      </c>
      <c r="K24" s="8">
        <v>8</v>
      </c>
      <c r="L24" s="7" t="s">
        <v>94</v>
      </c>
      <c r="M24" s="8">
        <v>11</v>
      </c>
    </row>
    <row r="25" spans="1:13" ht="18" customHeight="1" x14ac:dyDescent="0.4">
      <c r="A25" s="21" t="s">
        <v>95</v>
      </c>
      <c r="B25" s="9" t="s">
        <v>96</v>
      </c>
      <c r="C25" s="10">
        <v>24</v>
      </c>
      <c r="D25" s="9" t="s">
        <v>97</v>
      </c>
      <c r="E25" s="10">
        <v>24</v>
      </c>
      <c r="F25" s="9" t="s">
        <v>138</v>
      </c>
      <c r="G25" s="10">
        <v>20</v>
      </c>
      <c r="H25" s="9" t="s">
        <v>162</v>
      </c>
      <c r="I25" s="10">
        <v>34</v>
      </c>
      <c r="J25" s="9" t="s">
        <v>98</v>
      </c>
      <c r="K25" s="10">
        <v>29</v>
      </c>
      <c r="L25" s="9" t="s">
        <v>99</v>
      </c>
      <c r="M25" s="10">
        <v>33</v>
      </c>
    </row>
    <row r="26" spans="1:13" ht="18" customHeight="1" x14ac:dyDescent="0.4">
      <c r="A26" s="22"/>
      <c r="B26" s="9" t="s">
        <v>128</v>
      </c>
      <c r="C26" s="10">
        <v>22</v>
      </c>
      <c r="D26" s="9" t="s">
        <v>134</v>
      </c>
      <c r="E26" s="10">
        <v>8</v>
      </c>
      <c r="F26" s="9" t="s">
        <v>127</v>
      </c>
      <c r="G26" s="10">
        <v>15</v>
      </c>
      <c r="H26" s="9" t="s">
        <v>100</v>
      </c>
      <c r="I26" s="10">
        <v>26</v>
      </c>
      <c r="J26" s="9" t="s">
        <v>101</v>
      </c>
      <c r="K26" s="10">
        <v>20</v>
      </c>
      <c r="L26" s="9" t="s">
        <v>102</v>
      </c>
      <c r="M26" s="10">
        <v>25</v>
      </c>
    </row>
    <row r="27" spans="1:13" ht="18" customHeight="1" x14ac:dyDescent="0.4">
      <c r="A27" s="22"/>
      <c r="B27" s="9" t="s">
        <v>103</v>
      </c>
      <c r="C27" s="10">
        <v>22</v>
      </c>
      <c r="D27" s="9" t="s">
        <v>104</v>
      </c>
      <c r="E27" s="10">
        <v>21</v>
      </c>
      <c r="F27" s="9" t="s">
        <v>136</v>
      </c>
      <c r="G27" s="10">
        <v>17</v>
      </c>
      <c r="H27" s="9" t="s">
        <v>133</v>
      </c>
      <c r="I27" s="10">
        <v>6</v>
      </c>
      <c r="J27" s="9" t="s">
        <v>160</v>
      </c>
      <c r="K27" s="10">
        <v>15</v>
      </c>
      <c r="L27" s="9" t="s">
        <v>158</v>
      </c>
      <c r="M27" s="10">
        <v>18</v>
      </c>
    </row>
    <row r="28" spans="1:13" ht="18" customHeight="1" x14ac:dyDescent="0.4">
      <c r="A28" s="22"/>
      <c r="B28" s="9" t="s">
        <v>105</v>
      </c>
      <c r="C28" s="10">
        <v>21</v>
      </c>
      <c r="D28" s="9" t="s">
        <v>106</v>
      </c>
      <c r="E28" s="10">
        <v>7</v>
      </c>
      <c r="F28" s="9" t="s">
        <v>107</v>
      </c>
      <c r="G28" s="10">
        <v>20</v>
      </c>
      <c r="H28" s="9" t="s">
        <v>108</v>
      </c>
      <c r="I28" s="10">
        <v>19</v>
      </c>
      <c r="J28" s="9" t="s">
        <v>109</v>
      </c>
      <c r="K28" s="10">
        <v>12</v>
      </c>
      <c r="L28" s="9" t="s">
        <v>159</v>
      </c>
      <c r="M28" s="10">
        <v>20</v>
      </c>
    </row>
    <row r="29" spans="1:13" ht="18" customHeight="1" x14ac:dyDescent="0.4">
      <c r="A29" s="22"/>
      <c r="B29" s="9" t="s">
        <v>120</v>
      </c>
      <c r="C29" s="10">
        <v>16</v>
      </c>
      <c r="D29" s="36" t="s">
        <v>168</v>
      </c>
      <c r="E29" s="10">
        <v>19</v>
      </c>
      <c r="F29" s="9" t="s">
        <v>110</v>
      </c>
      <c r="G29" s="10">
        <v>31</v>
      </c>
      <c r="H29" s="9" t="s">
        <v>111</v>
      </c>
      <c r="I29" s="10">
        <v>16</v>
      </c>
      <c r="J29" s="9" t="s">
        <v>112</v>
      </c>
      <c r="K29" s="10">
        <v>19</v>
      </c>
      <c r="L29" s="9" t="s">
        <v>124</v>
      </c>
      <c r="M29" s="10">
        <v>12</v>
      </c>
    </row>
    <row r="30" spans="1:13" ht="18" customHeight="1" x14ac:dyDescent="0.4">
      <c r="A30" s="23"/>
      <c r="B30" s="36" t="s">
        <v>167</v>
      </c>
      <c r="C30" s="10">
        <v>8</v>
      </c>
      <c r="D30" s="9" t="s">
        <v>113</v>
      </c>
      <c r="E30" s="10">
        <v>9</v>
      </c>
      <c r="F30" s="36" t="s">
        <v>169</v>
      </c>
      <c r="G30" s="10">
        <v>15</v>
      </c>
      <c r="H30" s="9" t="s">
        <v>163</v>
      </c>
      <c r="I30" s="10">
        <v>14</v>
      </c>
      <c r="J30" s="9" t="s">
        <v>114</v>
      </c>
      <c r="K30" s="10">
        <v>13</v>
      </c>
      <c r="L30" s="9" t="s">
        <v>115</v>
      </c>
      <c r="M30" s="10">
        <v>1</v>
      </c>
    </row>
    <row r="31" spans="1:13" ht="20.25" customHeight="1" x14ac:dyDescent="0.45">
      <c r="A31" s="26" t="s">
        <v>116</v>
      </c>
      <c r="B31" s="27"/>
      <c r="C31" s="11">
        <f>SUM(C6:C30)</f>
        <v>328</v>
      </c>
      <c r="D31" s="12"/>
      <c r="E31" s="11">
        <f>SUM(E6:E30)</f>
        <v>317</v>
      </c>
      <c r="F31" s="12"/>
      <c r="G31" s="11">
        <f>SUM(G6:G30)</f>
        <v>328</v>
      </c>
      <c r="H31" s="12"/>
      <c r="I31" s="11">
        <f>SUM(I6:I30)</f>
        <v>333</v>
      </c>
      <c r="J31" s="12"/>
      <c r="K31" s="11">
        <f>SUM(K6:K30)</f>
        <v>313</v>
      </c>
      <c r="L31" s="12"/>
      <c r="M31" s="11">
        <f>SUM(M6:M30)</f>
        <v>329</v>
      </c>
    </row>
    <row r="32" spans="1:13" ht="12.75" customHeight="1" x14ac:dyDescent="0.3">
      <c r="A32" s="24" t="s">
        <v>117</v>
      </c>
      <c r="B32" s="25"/>
      <c r="C32" s="13">
        <f>333-C31</f>
        <v>5</v>
      </c>
      <c r="D32" s="14"/>
      <c r="E32" s="13">
        <f>333-E31</f>
        <v>16</v>
      </c>
      <c r="F32" s="14"/>
      <c r="G32" s="13">
        <f>333-G31</f>
        <v>5</v>
      </c>
      <c r="H32" s="14"/>
      <c r="I32" s="13">
        <f>333-I31</f>
        <v>0</v>
      </c>
      <c r="J32" s="14"/>
      <c r="K32" s="13">
        <f>333-K31</f>
        <v>20</v>
      </c>
      <c r="L32" s="14"/>
      <c r="M32" s="13">
        <f>333-M31</f>
        <v>4</v>
      </c>
    </row>
    <row r="33" spans="1:13" ht="12.75" customHeight="1" x14ac:dyDescent="0.3">
      <c r="A33" s="1"/>
      <c r="B33" s="14"/>
      <c r="C33" s="1"/>
      <c r="D33" s="13"/>
      <c r="E33" s="1"/>
      <c r="F33" s="14"/>
      <c r="G33" s="1"/>
      <c r="H33" s="14"/>
      <c r="I33" s="1"/>
      <c r="J33" s="14"/>
      <c r="K33" s="1"/>
      <c r="L33" s="14"/>
      <c r="M33" s="14"/>
    </row>
    <row r="34" spans="1:13" ht="12.75" customHeight="1" x14ac:dyDescent="0.4">
      <c r="A34" s="1"/>
      <c r="B34" s="15" t="s">
        <v>140</v>
      </c>
      <c r="C34" s="16"/>
      <c r="D34" s="15" t="s">
        <v>141</v>
      </c>
      <c r="E34" s="16"/>
      <c r="F34" s="15" t="s">
        <v>142</v>
      </c>
      <c r="G34" s="16"/>
      <c r="H34" s="15" t="s">
        <v>143</v>
      </c>
      <c r="I34" s="16"/>
      <c r="J34" s="15" t="s">
        <v>144</v>
      </c>
      <c r="K34" s="16"/>
      <c r="L34" s="15" t="s">
        <v>145</v>
      </c>
      <c r="M34" s="16"/>
    </row>
    <row r="35" spans="1:13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mergeCells count="13">
    <mergeCell ref="L3:M4"/>
    <mergeCell ref="A25:A30"/>
    <mergeCell ref="A32:B32"/>
    <mergeCell ref="A31:B31"/>
    <mergeCell ref="A6:A8"/>
    <mergeCell ref="A3:A5"/>
    <mergeCell ref="B3:C4"/>
    <mergeCell ref="J3:K4"/>
    <mergeCell ref="H3:I4"/>
    <mergeCell ref="A9:A16"/>
    <mergeCell ref="A17:A24"/>
    <mergeCell ref="D3:E4"/>
    <mergeCell ref="F3:G4"/>
  </mergeCells>
  <pageMargins left="0.78740157499999996" right="0.78740157499999996" top="0.984251969" bottom="0.98425196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</dc:creator>
  <cp:keywords/>
  <dc:description/>
  <cp:lastModifiedBy>Jan Dolejska</cp:lastModifiedBy>
  <cp:revision/>
  <cp:lastPrinted>2025-08-21T08:25:17Z</cp:lastPrinted>
  <dcterms:created xsi:type="dcterms:W3CDTF">2012-08-22T17:14:49Z</dcterms:created>
  <dcterms:modified xsi:type="dcterms:W3CDTF">2026-08-02T17:57:17Z</dcterms:modified>
  <cp:category>Veřejné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mss-DocumentTagging.ClassificationMark.P00">
    <vt:lpwstr>&lt;ClassificationMark xmlns:xsi="http://www.w3.org/2001/XMLSchema-instance" xmlns:xsd="http://www.w3.org/2001/XMLSchema" margin="NaN" class="C0" owner="Matteo" position="TopRight" marginX="0" marginY="0" classifiedOn="2024-06-11T08:55:50.4773438+02:00"</vt:lpwstr>
  </property>
  <property fmtid="{D5CDD505-2E9C-101B-9397-08002B2CF9AE}" pid="3" name="cmss-DocumentTagging.ClassificationMark.P01">
    <vt:lpwstr>showPrintedBy="false" showPrintDate="false" language="cs" ApplicationVersion="Microsoft Excel, 16.0" addinVersion="5.8.7.0" template="ČMSS"&gt;&lt;history bulk="false" class="Veřejné" code="C0" user="Dolejška Jan" date="2024-06-11T08:55:50.4773438+02:00"</vt:lpwstr>
  </property>
  <property fmtid="{D5CDD505-2E9C-101B-9397-08002B2CF9AE}" pid="4" name="cmss-DocumentTagging.ClassificationMark.P02">
    <vt:lpwstr>/&gt;&lt;recipients /&gt;&lt;documentOwners /&gt;&lt;/ClassificationMark&gt;</vt:lpwstr>
  </property>
  <property fmtid="{D5CDD505-2E9C-101B-9397-08002B2CF9AE}" pid="5" name="cmss-DocumentTagging.ClassificationMark">
    <vt:lpwstr>￼PARTS:3</vt:lpwstr>
  </property>
  <property fmtid="{D5CDD505-2E9C-101B-9397-08002B2CF9AE}" pid="6" name="cmss-DocumentClasification">
    <vt:lpwstr>Veřejné</vt:lpwstr>
  </property>
  <property fmtid="{D5CDD505-2E9C-101B-9397-08002B2CF9AE}" pid="7" name="cmss-DLP">
    <vt:lpwstr>cmss-DLP:TAG_SEC_C0</vt:lpwstr>
  </property>
  <property fmtid="{D5CDD505-2E9C-101B-9397-08002B2CF9AE}" pid="8" name="MSIP_Label_296db974-983c-4868-8628-e426985202e0_Enabled">
    <vt:lpwstr>true</vt:lpwstr>
  </property>
  <property fmtid="{D5CDD505-2E9C-101B-9397-08002B2CF9AE}" pid="9" name="MSIP_Label_296db974-983c-4868-8628-e426985202e0_SetDate">
    <vt:lpwstr>2023-11-28T06:13:21Z</vt:lpwstr>
  </property>
  <property fmtid="{D5CDD505-2E9C-101B-9397-08002B2CF9AE}" pid="10" name="MSIP_Label_296db974-983c-4868-8628-e426985202e0_Method">
    <vt:lpwstr>Privileged</vt:lpwstr>
  </property>
  <property fmtid="{D5CDD505-2E9C-101B-9397-08002B2CF9AE}" pid="11" name="MSIP_Label_296db974-983c-4868-8628-e426985202e0_Name">
    <vt:lpwstr>296db974-983c-4868-8628-e426985202e0</vt:lpwstr>
  </property>
  <property fmtid="{D5CDD505-2E9C-101B-9397-08002B2CF9AE}" pid="12" name="MSIP_Label_296db974-983c-4868-8628-e426985202e0_SiteId">
    <vt:lpwstr>64af2aee-7d6c-49ac-a409-192d3fee73b8</vt:lpwstr>
  </property>
  <property fmtid="{D5CDD505-2E9C-101B-9397-08002B2CF9AE}" pid="13" name="MSIP_Label_296db974-983c-4868-8628-e426985202e0_ActionId">
    <vt:lpwstr>5fb5d54e-6610-4a34-97ac-8de470dd5223</vt:lpwstr>
  </property>
  <property fmtid="{D5CDD505-2E9C-101B-9397-08002B2CF9AE}" pid="14" name="MSIP_Label_296db974-983c-4868-8628-e426985202e0_ContentBits">
    <vt:lpwstr>0</vt:lpwstr>
  </property>
</Properties>
</file>